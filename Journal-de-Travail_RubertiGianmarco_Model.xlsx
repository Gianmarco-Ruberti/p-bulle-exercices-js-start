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y13koy\Documents\github\p-bulle-exercices-js-start\"/>
    </mc:Choice>
  </mc:AlternateContent>
  <xr:revisionPtr revIDLastSave="0" documentId="13_ncr:1_{FEA2CD5E-79E4-4707-8811-7560D52BEECB}" xr6:coauthVersionLast="47" xr6:coauthVersionMax="47" xr10:uidLastSave="{00000000-0000-0000-0000-000000000000}"/>
  <bookViews>
    <workbookView xWindow="43200" yWindow="0" windowWidth="14400" windowHeight="1560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<sst xmlns="http://schemas.openxmlformats.org/spreadsheetml/2006/main" count="131" uniqueCount="90">
  <si>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</si>
  <si>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</si>
  <si>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</si>
  <si>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</si>
  <si>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</si>
  <si>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</si>
  <si>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</si>
  <si>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</si>
  <si>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</si>
  <si>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</si>
  <si>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</si>
  <si>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</si>
  <si>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</si>
  <si>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</si>
  <si>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</si>
  <si>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</si>
  <si>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</si>
  <si>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</si>
  <si>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</si>
  <si>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</si>
  <si>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</si>
  <si>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</si>
  <si>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</si>
  <si>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</si>
  <si>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</si>
  <si>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</si>
  <si>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</si>
  <si>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</si>
  <si>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24.02.2025 au 14.03.2025</t>
  </si>
  <si>
    <t>Ruberti Gianmarco</t>
  </si>
  <si>
    <t>P_bulle</t>
  </si>
  <si>
    <t>hello-world</t>
  </si>
  <si>
    <t>13h24-13h32</t>
  </si>
  <si>
    <t>annalyns-infiltration</t>
  </si>
  <si>
    <t>13h39-15h11  (-15min de pause)</t>
  </si>
  <si>
    <t>Lasagna</t>
  </si>
  <si>
    <t>15h15-16h03</t>
  </si>
  <si>
    <t>freelancer-rates</t>
  </si>
  <si>
    <t>16h07-16h30 WIP</t>
  </si>
  <si>
    <t>12h36-13h25</t>
  </si>
  <si>
    <t>poetry-club-door-policy</t>
  </si>
  <si>
    <t>13h26-14h45</t>
  </si>
  <si>
    <t>freelancer-rates améloration</t>
  </si>
  <si>
    <t>15h08-15h15</t>
  </si>
  <si>
    <t>elyses-enchantments</t>
  </si>
  <si>
    <t>15h21-15h55</t>
  </si>
  <si>
    <t>freelancer-rates/poetry-club-door-policy/elyses-enchantments amélioration</t>
  </si>
  <si>
    <t>16h12-16h19</t>
  </si>
  <si>
    <t>16h22-16h30</t>
  </si>
  <si>
    <t>lecture de vehicle-purchase</t>
  </si>
  <si>
    <t>vehicle-purchase</t>
  </si>
  <si>
    <t>12h30-12h53</t>
  </si>
  <si>
    <t>amusement-park</t>
  </si>
  <si>
    <t>elyses-looping-enchantments</t>
  </si>
  <si>
    <t>13h04-13h21 WIP</t>
  </si>
  <si>
    <t>13h35-14h17</t>
  </si>
  <si>
    <t>space-age</t>
  </si>
  <si>
    <t>14h22-16h   (-15min de pause)</t>
  </si>
  <si>
    <t>fruit-picker</t>
  </si>
  <si>
    <t>16h11-16h35 WIP</t>
  </si>
  <si>
    <t>space-age amélioration</t>
  </si>
  <si>
    <t>12h26-12h37</t>
  </si>
  <si>
    <t>12h39-13h01</t>
  </si>
  <si>
    <t>13h04-14h13</t>
  </si>
  <si>
    <t>14h17-16h22 (-20min de pause)</t>
  </si>
  <si>
    <t>13h03-13h31</t>
  </si>
  <si>
    <t>bank-account</t>
  </si>
  <si>
    <t>13h37-14h21</t>
  </si>
  <si>
    <t>amusement-park amélioration</t>
  </si>
  <si>
    <t>14h24-14h29</t>
  </si>
  <si>
    <t>captains-log</t>
  </si>
  <si>
    <t>14h34-15h28 (-20min de pause)</t>
  </si>
  <si>
    <t>gigasecond</t>
  </si>
  <si>
    <t>15h33-16h01</t>
  </si>
  <si>
    <t>compréhension lucky-number intro</t>
  </si>
  <si>
    <t>16h05-16h15 WIP</t>
  </si>
  <si>
    <t>forms</t>
  </si>
  <si>
    <t>12h20-13h00</t>
  </si>
  <si>
    <t>13h10-13h20</t>
  </si>
  <si>
    <t>bank-account mise des attributs en privé</t>
  </si>
  <si>
    <t xml:space="preserve"> captains-log amélioration</t>
  </si>
  <si>
    <t>13h23-13h26</t>
  </si>
  <si>
    <t>lucky-numbers</t>
  </si>
  <si>
    <t>lucky-numbers plus correction du forms</t>
  </si>
  <si>
    <t>réglage d'un problème de lancement de test</t>
  </si>
  <si>
    <t>13h30-15h30 (-25min de pause) WIP</t>
  </si>
  <si>
    <t>15h33-15h52</t>
  </si>
  <si>
    <t>15h53-16h21</t>
  </si>
  <si>
    <t>captains-log/bank-account amélioration</t>
  </si>
  <si>
    <t>16h24-16h27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</si>
</sst>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4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7" fontId="0" fillId="0" borderId="0" xfId="0" applyNumberFormat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20</c:v>
                </c:pt>
                <c:pt idx="1">
                  <c:v>1085</c:v>
                </c:pt>
                <c:pt idx="2">
                  <c:v>40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1.7467248908296942E-2</c:v>
                </c:pt>
                <c:pt idx="1">
                  <c:v>0.94759825327510916</c:v>
                </c:pt>
                <c:pt idx="2">
                  <c:v>3.4934497816593885E-2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115" zoomScaleNormal="115" workbookViewId="0">
      <pane ySplit="6" topLeftCell="A22" activePane="bottomLeft" state="frozen"/>
      <selection pane="bottomLeft" activeCell="B41" sqref="B4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3" t="s">
        <v>0</v>
      </c>
      <c r="B2" s="83"/>
      <c r="C2" s="81" t="s">
        <v>29</v>
      </c>
      <c r="D2" s="81"/>
      <c r="E2" s="81"/>
      <c r="F2" s="5" t="s">
        <v>1</v>
      </c>
      <c r="G2" s="75" t="s">
        <v>30</v>
      </c>
    </row>
    <row r="3" spans="1:15" ht="23.25" x14ac:dyDescent="0.35">
      <c r="A3" s="83" t="s">
        <v>5</v>
      </c>
      <c r="B3" s="83"/>
      <c r="C3" s="78" t="str">
        <f>QUOTIENT(E4,60)&amp;" heures "&amp;MOD(E4,60)&amp;" minutes"</f>
        <v>19 heures 5 minutes</v>
      </c>
      <c r="D3" s="19"/>
      <c r="E3" s="3"/>
      <c r="F3" s="4" t="s">
        <v>6</v>
      </c>
      <c r="G3" s="76" t="s">
        <v>28</v>
      </c>
    </row>
    <row r="4" spans="1:15" ht="23.25" hidden="1" x14ac:dyDescent="0.35">
      <c r="B4" s="5"/>
      <c r="C4" s="19">
        <f>SUBTOTAL(9,$C$7:$C$531)*60</f>
        <v>420</v>
      </c>
      <c r="D4" s="19">
        <f>SUBTOTAL(9,$D$7:$D$531)</f>
        <v>725</v>
      </c>
      <c r="E4" s="29">
        <f>SUM(C4:D4)</f>
        <v>1145</v>
      </c>
      <c r="F4" s="4"/>
      <c r="G4" s="6"/>
    </row>
    <row r="5" spans="1:15" x14ac:dyDescent="0.25">
      <c r="C5" s="82" t="s">
        <v>14</v>
      </c>
      <c r="D5" s="82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45</v>
      </c>
      <c r="B7" s="32">
        <v>45968</v>
      </c>
      <c r="C7" s="33"/>
      <c r="D7" s="34">
        <v>10</v>
      </c>
      <c r="E7" s="35" t="s">
        <v>19</v>
      </c>
      <c r="F7" s="28" t="s">
        <v>31</v>
      </c>
      <c r="G7" s="44" t="s">
        <v>32</v>
      </c>
    </row>
    <row r="8" spans="1:15" x14ac:dyDescent="0.25">
      <c r="A8" s="73">
        <f>IF(ISBLANK(B8),"",_xlfn.ISOWEEKNUM('Journal de travail'!$B8))</f>
        <v>45</v>
      </c>
      <c r="B8" s="36">
        <v>45968</v>
      </c>
      <c r="C8" s="37">
        <v>1</v>
      </c>
      <c r="D8" s="38">
        <v>30</v>
      </c>
      <c r="E8" s="39" t="s">
        <v>19</v>
      </c>
      <c r="F8" s="28" t="s">
        <v>33</v>
      </c>
      <c r="G8" s="45" t="s">
        <v>34</v>
      </c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45</v>
      </c>
      <c r="B9" s="40">
        <v>45968</v>
      </c>
      <c r="C9" s="41"/>
      <c r="D9" s="42">
        <v>50</v>
      </c>
      <c r="E9" s="43" t="s">
        <v>19</v>
      </c>
      <c r="F9" s="28" t="s">
        <v>35</v>
      </c>
      <c r="G9" s="46" t="s">
        <v>36</v>
      </c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45</v>
      </c>
      <c r="B10" s="36">
        <v>45968</v>
      </c>
      <c r="C10" s="37"/>
      <c r="D10" s="38">
        <v>25</v>
      </c>
      <c r="E10" s="39" t="s">
        <v>19</v>
      </c>
      <c r="F10" s="28" t="s">
        <v>37</v>
      </c>
      <c r="G10" s="45" t="s">
        <v>38</v>
      </c>
      <c r="M10" t="s">
        <v>3</v>
      </c>
      <c r="N10">
        <v>3</v>
      </c>
      <c r="O10">
        <v>10</v>
      </c>
    </row>
    <row r="11" spans="1:15" x14ac:dyDescent="0.25">
      <c r="A11" s="74">
        <f>IF(ISBLANK(B11),"",_xlfn.ISOWEEKNUM('Journal de travail'!$B11))</f>
        <v>46</v>
      </c>
      <c r="B11" s="40">
        <v>45975</v>
      </c>
      <c r="C11" s="41"/>
      <c r="D11" s="42">
        <v>50</v>
      </c>
      <c r="E11" s="43" t="s">
        <v>19</v>
      </c>
      <c r="F11" s="28" t="s">
        <v>37</v>
      </c>
      <c r="G11" s="46" t="s">
        <v>39</v>
      </c>
      <c r="M11" t="s">
        <v>4</v>
      </c>
      <c r="N11">
        <v>4</v>
      </c>
      <c r="O11">
        <v>15</v>
      </c>
    </row>
    <row r="12" spans="1:15" x14ac:dyDescent="0.25">
      <c r="A12" s="73">
        <f>IF(ISBLANK(B12),"",_xlfn.ISOWEEKNUM('Journal de travail'!$B12))</f>
        <v>46</v>
      </c>
      <c r="B12" s="36">
        <v>45975</v>
      </c>
      <c r="C12" s="37">
        <v>1</v>
      </c>
      <c r="D12" s="38">
        <v>20</v>
      </c>
      <c r="E12" s="39" t="s">
        <v>19</v>
      </c>
      <c r="F12" s="28" t="s">
        <v>40</v>
      </c>
      <c r="G12" s="45" t="s">
        <v>41</v>
      </c>
      <c r="N12">
        <v>5</v>
      </c>
      <c r="O12">
        <v>20</v>
      </c>
    </row>
    <row r="13" spans="1:15" x14ac:dyDescent="0.25">
      <c r="A13" s="74">
        <f>IF(ISBLANK(B13),"",_xlfn.ISOWEEKNUM('Journal de travail'!$B13))</f>
        <v>46</v>
      </c>
      <c r="B13" s="40">
        <v>45975</v>
      </c>
      <c r="C13" s="41"/>
      <c r="D13" s="42">
        <v>5</v>
      </c>
      <c r="E13" s="43" t="s">
        <v>19</v>
      </c>
      <c r="F13" s="28" t="s">
        <v>42</v>
      </c>
      <c r="G13" s="46" t="s">
        <v>43</v>
      </c>
      <c r="N13">
        <v>6</v>
      </c>
      <c r="O13">
        <v>25</v>
      </c>
    </row>
    <row r="14" spans="1:15" x14ac:dyDescent="0.25">
      <c r="A14" s="73">
        <f>IF(ISBLANK(B14),"",_xlfn.ISOWEEKNUM('Journal de travail'!$B14))</f>
        <v>46</v>
      </c>
      <c r="B14" s="36">
        <v>45975</v>
      </c>
      <c r="C14" s="37"/>
      <c r="D14" s="38">
        <v>35</v>
      </c>
      <c r="E14" s="39" t="s">
        <v>19</v>
      </c>
      <c r="F14" s="28" t="s">
        <v>44</v>
      </c>
      <c r="G14" s="45" t="s">
        <v>45</v>
      </c>
      <c r="N14">
        <v>7</v>
      </c>
      <c r="O14">
        <v>30</v>
      </c>
    </row>
    <row r="15" spans="1:15" x14ac:dyDescent="0.25">
      <c r="A15" s="74">
        <f>IF(ISBLANK(B15),"",_xlfn.ISOWEEKNUM('Journal de travail'!$B15))</f>
        <v>46</v>
      </c>
      <c r="B15" s="40">
        <v>45975</v>
      </c>
      <c r="C15" s="41"/>
      <c r="D15" s="42">
        <v>5</v>
      </c>
      <c r="E15" s="43" t="s">
        <v>19</v>
      </c>
      <c r="F15" s="28" t="s">
        <v>46</v>
      </c>
      <c r="G15" s="46" t="s">
        <v>47</v>
      </c>
      <c r="N15">
        <v>8</v>
      </c>
      <c r="O15">
        <v>35</v>
      </c>
    </row>
    <row r="16" spans="1:15" x14ac:dyDescent="0.25">
      <c r="A16" s="73">
        <f>IF(ISBLANK(B16),"",_xlfn.ISOWEEKNUM('Journal de travail'!$B16))</f>
        <v>46</v>
      </c>
      <c r="B16" s="36">
        <v>45975</v>
      </c>
      <c r="C16" s="37"/>
      <c r="D16" s="38">
        <v>10</v>
      </c>
      <c r="E16" s="39" t="s">
        <v>2</v>
      </c>
      <c r="F16" s="28" t="s">
        <v>49</v>
      </c>
      <c r="G16" s="45" t="s">
        <v>48</v>
      </c>
      <c r="O16">
        <v>40</v>
      </c>
    </row>
    <row r="17" spans="1:15" x14ac:dyDescent="0.25">
      <c r="A17" s="74">
        <f>IF(ISBLANK(B17),"",_xlfn.ISOWEEKNUM('Journal de travail'!$B17))</f>
        <v>47</v>
      </c>
      <c r="B17" s="40">
        <v>45982</v>
      </c>
      <c r="C17" s="41"/>
      <c r="D17" s="42">
        <v>25</v>
      </c>
      <c r="E17" s="43" t="s">
        <v>19</v>
      </c>
      <c r="F17" s="28" t="s">
        <v>50</v>
      </c>
      <c r="G17" s="46" t="s">
        <v>51</v>
      </c>
      <c r="O17">
        <v>45</v>
      </c>
    </row>
    <row r="18" spans="1:15" x14ac:dyDescent="0.25">
      <c r="A18" s="73">
        <f>IF(ISBLANK(B18),"",_xlfn.ISOWEEKNUM('Journal de travail'!$B18))</f>
        <v>47</v>
      </c>
      <c r="B18" s="36">
        <v>45982</v>
      </c>
      <c r="C18" s="37"/>
      <c r="D18" s="38">
        <v>15</v>
      </c>
      <c r="E18" s="39" t="s">
        <v>19</v>
      </c>
      <c r="F18" s="28" t="s">
        <v>52</v>
      </c>
      <c r="G18" s="45" t="s">
        <v>54</v>
      </c>
      <c r="O18">
        <v>50</v>
      </c>
    </row>
    <row r="19" spans="1:15" x14ac:dyDescent="0.25">
      <c r="A19" s="74">
        <f>IF(ISBLANK(B19),"",_xlfn.ISOWEEKNUM('Journal de travail'!$B19))</f>
        <v>47</v>
      </c>
      <c r="B19" s="40">
        <v>45982</v>
      </c>
      <c r="C19" s="41"/>
      <c r="D19" s="42">
        <v>40</v>
      </c>
      <c r="E19" s="43" t="s">
        <v>19</v>
      </c>
      <c r="F19" s="28" t="s">
        <v>53</v>
      </c>
      <c r="G19" s="46" t="s">
        <v>55</v>
      </c>
      <c r="O19">
        <v>55</v>
      </c>
    </row>
    <row r="20" spans="1:15" x14ac:dyDescent="0.25">
      <c r="A20" s="73">
        <f>IF(ISBLANK(B20),"",_xlfn.ISOWEEKNUM('Journal de travail'!$B20))</f>
        <v>47</v>
      </c>
      <c r="B20" s="36">
        <v>45982</v>
      </c>
      <c r="C20" s="37">
        <v>1</v>
      </c>
      <c r="D20" s="38">
        <v>40</v>
      </c>
      <c r="E20" s="39" t="s">
        <v>19</v>
      </c>
      <c r="F20" s="28" t="s">
        <v>56</v>
      </c>
      <c r="G20" s="45" t="s">
        <v>57</v>
      </c>
    </row>
    <row r="21" spans="1:15" x14ac:dyDescent="0.25">
      <c r="A21" s="74">
        <f>IF(ISBLANK(B21),"",_xlfn.ISOWEEKNUM('Journal de travail'!$B21))</f>
        <v>47</v>
      </c>
      <c r="B21" s="40">
        <v>45982</v>
      </c>
      <c r="C21" s="41"/>
      <c r="D21" s="42">
        <v>20</v>
      </c>
      <c r="E21" s="43" t="s">
        <v>19</v>
      </c>
      <c r="F21" s="28" t="s">
        <v>58</v>
      </c>
      <c r="G21" s="46" t="s">
        <v>59</v>
      </c>
    </row>
    <row r="22" spans="1:15" x14ac:dyDescent="0.25">
      <c r="A22" s="73">
        <f>IF(ISBLANK(B22),"",_xlfn.ISOWEEKNUM('Journal de travail'!$B22))</f>
        <v>48</v>
      </c>
      <c r="B22" s="36">
        <v>45989</v>
      </c>
      <c r="C22" s="37"/>
      <c r="D22" s="38">
        <v>10</v>
      </c>
      <c r="E22" s="39" t="s">
        <v>19</v>
      </c>
      <c r="F22" s="28" t="s">
        <v>60</v>
      </c>
      <c r="G22" s="80" t="s">
        <v>61</v>
      </c>
    </row>
    <row r="23" spans="1:15" x14ac:dyDescent="0.25">
      <c r="A23" s="74">
        <f>IF(ISBLANK(B23),"",_xlfn.ISOWEEKNUM('Journal de travail'!$B23))</f>
        <v>48</v>
      </c>
      <c r="B23" s="40">
        <v>45989</v>
      </c>
      <c r="C23" s="41"/>
      <c r="D23" s="42">
        <v>20</v>
      </c>
      <c r="E23" s="43" t="s">
        <v>19</v>
      </c>
      <c r="F23" s="28" t="s">
        <v>53</v>
      </c>
      <c r="G23" s="46" t="s">
        <v>62</v>
      </c>
    </row>
    <row r="24" spans="1:15" x14ac:dyDescent="0.25">
      <c r="A24" s="73">
        <f>IF(ISBLANK(B24),"",_xlfn.ISOWEEKNUM('Journal de travail'!$B24))</f>
        <v>48</v>
      </c>
      <c r="B24" s="36">
        <v>45989</v>
      </c>
      <c r="C24" s="37">
        <v>1</v>
      </c>
      <c r="D24" s="38">
        <v>10</v>
      </c>
      <c r="E24" s="39" t="s">
        <v>19</v>
      </c>
      <c r="F24" s="28" t="s">
        <v>58</v>
      </c>
      <c r="G24" s="45" t="s">
        <v>63</v>
      </c>
    </row>
    <row r="25" spans="1:15" x14ac:dyDescent="0.25">
      <c r="A25" s="74">
        <f>IF(ISBLANK(B25),"",_xlfn.ISOWEEKNUM('Journal de travail'!$B25))</f>
        <v>48</v>
      </c>
      <c r="B25" s="40">
        <v>45989</v>
      </c>
      <c r="C25" s="41">
        <v>2</v>
      </c>
      <c r="D25" s="42">
        <v>5</v>
      </c>
      <c r="E25" s="43" t="s">
        <v>19</v>
      </c>
      <c r="F25" s="28" t="s">
        <v>52</v>
      </c>
      <c r="G25" s="46" t="s">
        <v>64</v>
      </c>
    </row>
    <row r="26" spans="1:15" x14ac:dyDescent="0.25">
      <c r="A26" s="73">
        <f>IF(ISBLANK(B26),"",_xlfn.ISOWEEKNUM('Journal de travail'!$B26))</f>
        <v>49</v>
      </c>
      <c r="B26" s="36">
        <v>45996</v>
      </c>
      <c r="C26" s="37"/>
      <c r="D26" s="38">
        <v>30</v>
      </c>
      <c r="E26" s="39" t="s">
        <v>19</v>
      </c>
      <c r="F26" s="28" t="s">
        <v>60</v>
      </c>
      <c r="G26" s="45" t="s">
        <v>65</v>
      </c>
    </row>
    <row r="27" spans="1:15" x14ac:dyDescent="0.25">
      <c r="A27" s="74">
        <f>IF(ISBLANK(B27),"",_xlfn.ISOWEEKNUM('Journal de travail'!$B27))</f>
        <v>49</v>
      </c>
      <c r="B27" s="40">
        <v>45996</v>
      </c>
      <c r="C27" s="41"/>
      <c r="D27" s="42">
        <v>45</v>
      </c>
      <c r="E27" s="43" t="s">
        <v>19</v>
      </c>
      <c r="F27" s="28" t="s">
        <v>66</v>
      </c>
      <c r="G27" s="46" t="s">
        <v>67</v>
      </c>
    </row>
    <row r="28" spans="1:15" x14ac:dyDescent="0.25">
      <c r="A28" s="73">
        <f>IF(ISBLANK(B28),"",_xlfn.ISOWEEKNUM('Journal de travail'!$B28))</f>
        <v>49</v>
      </c>
      <c r="B28" s="36">
        <v>45996</v>
      </c>
      <c r="C28" s="37"/>
      <c r="D28" s="38">
        <v>5</v>
      </c>
      <c r="E28" s="39" t="s">
        <v>19</v>
      </c>
      <c r="F28" s="27" t="s">
        <v>68</v>
      </c>
      <c r="G28" s="45" t="s">
        <v>69</v>
      </c>
    </row>
    <row r="29" spans="1:15" x14ac:dyDescent="0.25">
      <c r="A29" s="74">
        <f>IF(ISBLANK(B29),"",_xlfn.ISOWEEKNUM('Journal de travail'!$B29))</f>
        <v>49</v>
      </c>
      <c r="B29" s="40">
        <v>45996</v>
      </c>
      <c r="C29" s="41"/>
      <c r="D29" s="42">
        <v>35</v>
      </c>
      <c r="E29" s="43" t="s">
        <v>19</v>
      </c>
      <c r="F29" s="27" t="s">
        <v>70</v>
      </c>
      <c r="G29" s="46" t="s">
        <v>71</v>
      </c>
    </row>
    <row r="30" spans="1:15" x14ac:dyDescent="0.25">
      <c r="A30" s="73">
        <f>IF(ISBLANK(B30),"",_xlfn.ISOWEEKNUM('Journal de travail'!$B30))</f>
        <v>49</v>
      </c>
      <c r="B30" s="36">
        <v>45996</v>
      </c>
      <c r="C30" s="37"/>
      <c r="D30" s="38">
        <v>30</v>
      </c>
      <c r="E30" s="39" t="s">
        <v>19</v>
      </c>
      <c r="F30" s="28" t="s">
        <v>72</v>
      </c>
      <c r="G30" s="45" t="s">
        <v>73</v>
      </c>
    </row>
    <row r="31" spans="1:15" x14ac:dyDescent="0.25">
      <c r="A31" s="74">
        <f>IF(ISBLANK(B31),"",_xlfn.ISOWEEKNUM('Journal de travail'!$B31))</f>
        <v>49</v>
      </c>
      <c r="B31" s="40">
        <v>45996</v>
      </c>
      <c r="C31" s="41"/>
      <c r="D31" s="42">
        <v>10</v>
      </c>
      <c r="E31" s="43" t="s">
        <v>2</v>
      </c>
      <c r="F31" s="27" t="s">
        <v>74</v>
      </c>
      <c r="G31" s="46" t="s">
        <v>75</v>
      </c>
    </row>
    <row r="32" spans="1:15" x14ac:dyDescent="0.25">
      <c r="A32" s="73">
        <f>IF(ISBLANK(B32),"",_xlfn.ISOWEEKNUM('Journal de travail'!$B32))</f>
        <v>50</v>
      </c>
      <c r="B32" s="36">
        <v>46003</v>
      </c>
      <c r="C32" s="37"/>
      <c r="D32" s="38">
        <v>40</v>
      </c>
      <c r="E32" s="39" t="s">
        <v>3</v>
      </c>
      <c r="F32" s="28" t="s">
        <v>76</v>
      </c>
      <c r="G32" s="45" t="s">
        <v>77</v>
      </c>
    </row>
    <row r="33" spans="1:7" x14ac:dyDescent="0.25">
      <c r="A33" s="74">
        <f>IF(ISBLANK(B33),"",_xlfn.ISOWEEKNUM('Journal de travail'!$B33))</f>
        <v>50</v>
      </c>
      <c r="B33" s="40">
        <v>46003</v>
      </c>
      <c r="C33" s="41"/>
      <c r="D33" s="42">
        <v>10</v>
      </c>
      <c r="E33" s="43" t="s">
        <v>19</v>
      </c>
      <c r="F33" s="27" t="s">
        <v>79</v>
      </c>
      <c r="G33" s="46" t="s">
        <v>78</v>
      </c>
    </row>
    <row r="34" spans="1:7" x14ac:dyDescent="0.25">
      <c r="A34" s="73">
        <f>IF(ISBLANK(B34),"",_xlfn.ISOWEEKNUM('Journal de travail'!$B34))</f>
        <v>50</v>
      </c>
      <c r="B34" s="36">
        <v>46003</v>
      </c>
      <c r="C34" s="37"/>
      <c r="D34" s="38">
        <v>5</v>
      </c>
      <c r="E34" s="39" t="s">
        <v>19</v>
      </c>
      <c r="F34" s="27" t="s">
        <v>80</v>
      </c>
      <c r="G34" s="45" t="s">
        <v>81</v>
      </c>
    </row>
    <row r="35" spans="1:7" x14ac:dyDescent="0.25">
      <c r="A35" s="74">
        <f>IF(ISBLANK(B35),"",_xlfn.ISOWEEKNUM('Journal de travail'!$B35))</f>
        <v>50</v>
      </c>
      <c r="B35" s="40">
        <v>46003</v>
      </c>
      <c r="C35" s="41">
        <v>1</v>
      </c>
      <c r="D35" s="42">
        <v>35</v>
      </c>
      <c r="E35" s="43" t="s">
        <v>19</v>
      </c>
      <c r="F35" s="28" t="s">
        <v>83</v>
      </c>
      <c r="G35" s="46" t="s">
        <v>85</v>
      </c>
    </row>
    <row r="36" spans="1:7" x14ac:dyDescent="0.25">
      <c r="A36" s="73">
        <f>IF(ISBLANK(B36),"",_xlfn.ISOWEEKNUM('Journal de travail'!$B36))</f>
        <v>50</v>
      </c>
      <c r="B36" s="36">
        <v>46003</v>
      </c>
      <c r="C36" s="37"/>
      <c r="D36" s="38">
        <v>20</v>
      </c>
      <c r="E36" s="39" t="s">
        <v>19</v>
      </c>
      <c r="F36" s="27" t="s">
        <v>84</v>
      </c>
      <c r="G36" s="45" t="s">
        <v>86</v>
      </c>
    </row>
    <row r="37" spans="1:7" x14ac:dyDescent="0.25">
      <c r="A37" s="74">
        <f>IF(ISBLANK(B37),"",_xlfn.ISOWEEKNUM('Journal de travail'!$B37))</f>
        <v>50</v>
      </c>
      <c r="B37" s="40">
        <v>46003</v>
      </c>
      <c r="C37" s="41"/>
      <c r="D37" s="42">
        <v>30</v>
      </c>
      <c r="E37" s="43" t="s">
        <v>19</v>
      </c>
      <c r="F37" s="27" t="s">
        <v>82</v>
      </c>
      <c r="G37" s="46" t="s">
        <v>87</v>
      </c>
    </row>
    <row r="38" spans="1:7" x14ac:dyDescent="0.25">
      <c r="A38" s="73">
        <f>IF(ISBLANK(B38),"",_xlfn.ISOWEEKNUM('Journal de travail'!$B38))</f>
        <v>50</v>
      </c>
      <c r="B38" s="36">
        <v>46003</v>
      </c>
      <c r="C38" s="37"/>
      <c r="D38" s="38">
        <v>5</v>
      </c>
      <c r="E38" s="39" t="s">
        <v>19</v>
      </c>
      <c r="F38" s="27" t="s">
        <v>88</v>
      </c>
      <c r="G38" s="45" t="s">
        <v>89</v>
      </c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workbookViewId="0">
      <selection activeCell="N7" sqref="N7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20</v>
      </c>
      <c r="C6">
        <f t="shared" ref="C6:C9" si="0">SUM(A6:B6)</f>
        <v>20</v>
      </c>
      <c r="E6" s="21" t="str">
        <f>'Journal de travail'!M8</f>
        <v>Analyse</v>
      </c>
      <c r="F6" s="50" t="str">
        <f>QUOTIENT(SUM(A6:B6),60)&amp;" h "&amp;TEXT(MOD(SUM(A6:B6),60), "00")&amp;" min"</f>
        <v>0 h 20 min</v>
      </c>
      <c r="G6" s="47">
        <f>SUM(A6:B6)/$C$10</f>
        <v>1.7467248908296942E-2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420</v>
      </c>
      <c r="B7">
        <f>SUMIF('Journal de travail'!$E$7:$E$532,Plannification!E7,'Journal de travail'!$D$7:$D$532)</f>
        <v>665</v>
      </c>
      <c r="C7">
        <f t="shared" si="0"/>
        <v>1085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18 h 05 min</v>
      </c>
      <c r="G7" s="56">
        <f t="shared" ref="G7:G9" si="2">SUM(A7:B7)/$C$10</f>
        <v>0.94759825327510916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40</v>
      </c>
      <c r="C8">
        <f t="shared" si="0"/>
        <v>40</v>
      </c>
      <c r="E8" s="22" t="str">
        <f>'Journal de travail'!M10</f>
        <v>Test</v>
      </c>
      <c r="F8" s="50" t="str">
        <f t="shared" si="1"/>
        <v>0 h 40 min</v>
      </c>
      <c r="G8" s="47">
        <f t="shared" si="2"/>
        <v>3.4934497816593885E-2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420</v>
      </c>
      <c r="B10">
        <f>SUM(B6:B9)</f>
        <v>725</v>
      </c>
      <c r="C10">
        <f>SUM(A10:B10)</f>
        <v>1145</v>
      </c>
      <c r="E10" s="20" t="s">
        <v>18</v>
      </c>
      <c r="F10" s="50" t="str">
        <f t="shared" si="1"/>
        <v>19 h 05 min</v>
      </c>
      <c r="G10" s="57">
        <f>C10/C11</f>
        <v>0.21685606060606061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Gianmarco Ruberti</cp:lastModifiedBy>
  <cp:revision/>
  <dcterms:created xsi:type="dcterms:W3CDTF">2023-11-21T20:00:34Z</dcterms:created>
  <dcterms:modified xsi:type="dcterms:W3CDTF">2025-12-12T15:28:04Z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