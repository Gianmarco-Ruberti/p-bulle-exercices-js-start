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E:\cours\P_bulle\"/>
    </mc:Choice>
  </mc:AlternateContent>
  <xr:revisionPtr revIDLastSave="0" documentId="13_ncr:1_{A661B9D7-AEE7-4E19-B4E9-26AB59B9B919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<sst xmlns="http://schemas.openxmlformats.org/spreadsheetml/2006/main" count="47" uniqueCount="39">
  <si>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</si>
  <si>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</si>
  <si>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</si>
  <si>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</si>
  <si>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</si>
  <si>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</si>
  <si>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</si>
  <si>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</si>
  <si>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</si>
  <si>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</si>
  <si>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</si>
  <si>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</si>
  <si>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</si>
  <si>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</si>
  <si>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</si>
  <si>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</si>
  <si>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</si>
  <si>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</si>
  <si>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</si>
  <si>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</si>
  <si>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</si>
  <si>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</si>
  <si>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</si>
  <si>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</si>
  <si>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</si>
  <si>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</si>
  <si>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</si>
  <si>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</si>
  <si>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24.02.2025 au 14.03.2025</t>
  </si>
  <si>
    <t>Ruberti Gianmarco</t>
  </si>
  <si>
    <t>P_bulle</t>
  </si>
  <si>
    <t>hello-world</t>
  </si>
  <si>
    <t>13h24-13h32</t>
  </si>
  <si>
    <t>annalyns-infiltration</t>
  </si>
  <si>
    <t>13h39-15h11  (-15min de pause)</t>
  </si>
  <si>
    <t>Lasagna</t>
  </si>
  <si>
    <t>15h15-16h03</t>
  </si>
  <si>
    <t>freelancer-rates</t>
  </si>
  <si>
    <t>16h07-16h30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</si>
</sst>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175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D17" sqref="D1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29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2 heures 55 minutes</v>
      </c>
      <c r="D3" s="19"/>
      <c r="E3" s="3"/>
      <c r="F3" s="4" t="s">
        <v>6</v>
      </c>
      <c r="G3" s="76" t="s">
        <v>28</v>
      </c>
    </row>
    <row r="4" spans="1:15" ht="23.25" hidden="1" x14ac:dyDescent="0.35">
      <c r="B4" s="5"/>
      <c r="C4" s="19">
        <f>SUBTOTAL(9,$C$7:$C$531)*60</f>
        <v>60</v>
      </c>
      <c r="D4" s="19">
        <f>SUBTOTAL(9,$D$7:$D$531)</f>
        <v>115</v>
      </c>
      <c r="E4" s="29">
        <f>SUM(C4:D4)</f>
        <v>175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45</v>
      </c>
      <c r="B7" s="32">
        <v>45968</v>
      </c>
      <c r="C7" s="33"/>
      <c r="D7" s="34">
        <v>10</v>
      </c>
      <c r="E7" s="35" t="s">
        <v>19</v>
      </c>
      <c r="F7" s="28" t="s">
        <v>31</v>
      </c>
      <c r="G7" s="44" t="s">
        <v>32</v>
      </c>
    </row>
    <row r="8" spans="1:15" x14ac:dyDescent="0.25">
      <c r="A8" s="73">
        <f>IF(ISBLANK(B8),"",_xlfn.ISOWEEKNUM('Journal de travail'!$B8))</f>
        <v>45</v>
      </c>
      <c r="B8" s="36">
        <v>45968</v>
      </c>
      <c r="C8" s="37">
        <v>1</v>
      </c>
      <c r="D8" s="38">
        <v>30</v>
      </c>
      <c r="E8" s="39" t="s">
        <v>19</v>
      </c>
      <c r="F8" s="28" t="s">
        <v>33</v>
      </c>
      <c r="G8" s="45" t="s">
        <v>34</v>
      </c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45</v>
      </c>
      <c r="B9" s="40">
        <v>45968</v>
      </c>
      <c r="C9" s="41"/>
      <c r="D9" s="42">
        <v>50</v>
      </c>
      <c r="E9" s="43" t="s">
        <v>19</v>
      </c>
      <c r="F9" s="28" t="s">
        <v>35</v>
      </c>
      <c r="G9" s="46" t="s">
        <v>36</v>
      </c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45</v>
      </c>
      <c r="B10" s="36">
        <v>45968</v>
      </c>
      <c r="C10" s="37"/>
      <c r="D10" s="38">
        <v>25</v>
      </c>
      <c r="E10" s="39" t="s">
        <v>19</v>
      </c>
      <c r="F10" s="28" t="s">
        <v>37</v>
      </c>
      <c r="G10" s="45" t="s">
        <v>38</v>
      </c>
      <c r="M10" t="s">
        <v>3</v>
      </c>
      <c r="N10">
        <v>3</v>
      </c>
      <c r="O10">
        <v>10</v>
      </c>
    </row>
    <row r="11" spans="1:15" x14ac:dyDescent="0.25">
      <c r="A11" s="74" t="str">
        <f>IF(ISBLANK(B11),"",_xlfn.ISOWEEKNUM('Journal de travail'!$B11))</f>
        <v/>
      </c>
      <c r="B11" s="40"/>
      <c r="C11" s="41"/>
      <c r="D11" s="42"/>
      <c r="E11" s="43"/>
      <c r="F11" s="28"/>
      <c r="G11" s="46"/>
      <c r="M11" t="s">
        <v>4</v>
      </c>
      <c r="N11">
        <v>4</v>
      </c>
      <c r="O11">
        <v>15</v>
      </c>
    </row>
    <row r="12" spans="1:15" x14ac:dyDescent="0.25">
      <c r="A12" s="73" t="str">
        <f>IF(ISBLANK(B12),"",_xlfn.ISOWEEKNUM('Journal de travail'!$B12))</f>
        <v/>
      </c>
      <c r="B12" s="36"/>
      <c r="C12" s="37"/>
      <c r="D12" s="38"/>
      <c r="E12" s="39"/>
      <c r="F12" s="28"/>
      <c r="G12" s="45"/>
      <c r="N12">
        <v>5</v>
      </c>
      <c r="O12">
        <v>20</v>
      </c>
    </row>
    <row r="13" spans="1:15" x14ac:dyDescent="0.25">
      <c r="A13" s="74" t="str">
        <f>IF(ISBLANK(B13),"",_xlfn.ISOWEEKNUM('Journal de travail'!$B13))</f>
        <v/>
      </c>
      <c r="B13" s="40"/>
      <c r="C13" s="41"/>
      <c r="D13" s="42"/>
      <c r="E13" s="43"/>
      <c r="F13" s="28"/>
      <c r="G13" s="46"/>
      <c r="N13">
        <v>6</v>
      </c>
      <c r="O13">
        <v>25</v>
      </c>
    </row>
    <row r="14" spans="1:15" x14ac:dyDescent="0.25">
      <c r="A14" s="73" t="str">
        <f>IF(ISBLANK(B14),"",_xlfn.ISOWEEKNUM('Journal de travail'!$B14))</f>
        <v/>
      </c>
      <c r="B14" s="36"/>
      <c r="C14" s="37"/>
      <c r="D14" s="38"/>
      <c r="E14" s="39"/>
      <c r="F14" s="28"/>
      <c r="G14" s="45"/>
      <c r="N14">
        <v>7</v>
      </c>
      <c r="O14">
        <v>30</v>
      </c>
    </row>
    <row r="15" spans="1:15" x14ac:dyDescent="0.25">
      <c r="A15" s="74" t="str">
        <f>IF(ISBLANK(B15),"",_xlfn.ISOWEEKNUM('Journal de travail'!$B15))</f>
        <v/>
      </c>
      <c r="B15" s="40"/>
      <c r="C15" s="41"/>
      <c r="D15" s="42"/>
      <c r="E15" s="43"/>
      <c r="F15" s="28"/>
      <c r="G15" s="46"/>
      <c r="N15">
        <v>8</v>
      </c>
      <c r="O15">
        <v>35</v>
      </c>
    </row>
    <row r="16" spans="1:15" x14ac:dyDescent="0.25">
      <c r="A16" s="73" t="str">
        <f>IF(ISBLANK(B16),"",_xlfn.ISOWEEKNUM('Journal de travail'!$B16))</f>
        <v/>
      </c>
      <c r="B16" s="36"/>
      <c r="C16" s="37"/>
      <c r="D16" s="38"/>
      <c r="E16" s="39"/>
      <c r="F16" s="28"/>
      <c r="G16" s="45"/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115</v>
      </c>
      <c r="C7">
        <f t="shared" si="0"/>
        <v>175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2 h 55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60</v>
      </c>
      <c r="B10">
        <f>SUM(B6:B9)</f>
        <v>115</v>
      </c>
      <c r="C10">
        <f>SUM(A10:B10)</f>
        <v>175</v>
      </c>
      <c r="E10" s="20" t="s">
        <v>18</v>
      </c>
      <c r="F10" s="50" t="str">
        <f t="shared" si="1"/>
        <v>2 h 55 min</v>
      </c>
      <c r="G10" s="57">
        <f>C10/C11</f>
        <v>3.3143939393939392E-2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Gianmarco Ruberti</cp:lastModifiedBy>
  <cp:revision/>
  <dcterms:created xsi:type="dcterms:W3CDTF">2023-11-21T20:00:34Z</dcterms:created>
  <dcterms:modified xsi:type="dcterms:W3CDTF">2025-11-07T15:30:12Z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