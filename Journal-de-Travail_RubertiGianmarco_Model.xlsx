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CD7654E6-27C7-4B8F-8CFD-770214983F7D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<sst xmlns="http://schemas.openxmlformats.org/spreadsheetml/2006/main" count="154" uniqueCount="106">
  <si>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</si>
  <si>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</si>
  <si>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</si>
  <si>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</si>
  <si>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</si>
  <si>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</si>
  <si>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</si>
  <si>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</si>
  <si>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</si>
  <si>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</si>
  <si>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</si>
  <si>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</si>
  <si>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</si>
  <si>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</si>
  <si>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</si>
  <si>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</si>
  <si>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</si>
  <si>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</si>
  <si>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</si>
  <si>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</si>
  <si>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</si>
  <si>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</si>
  <si>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</si>
  <si>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</si>
  <si>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</si>
  <si>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</si>
  <si>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</si>
  <si>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</si>
  <si>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</si>
  <si>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</si>
  <si>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</si>
  <si>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</si>
  <si>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</si>
  <si>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</si>
  <si>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</si>
  <si>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</si>
  <si>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</si>
  <si>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</si>
  <si>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</si>
  <si>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</si>
  <si>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</si>
  <si>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</si>
  <si>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</si>
  <si>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</si>
  <si>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</si>
  <si>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</si>
  <si>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</si>
  <si>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</si>
  <si>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</si>
  <si>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</si>
  <si>
    <t>vehicle-purchase</t>
  </si>
  <si>
    <t>12h30-12h53</t>
  </si>
  <si>
    <t>amusement-park</t>
  </si>
  <si>
    <t>elyses-looping-enchantments</t>
  </si>
  <si>
    <t>13h04-13h21 WIP</t>
  </si>
  <si>
    <t>13h35-14h17</t>
  </si>
  <si>
    <t>space-age</t>
  </si>
  <si>
    <t>14h22-16h   (-15min de pause)</t>
  </si>
  <si>
    <t>fruit-picker</t>
  </si>
  <si>
    <t>16h11-16h35 WIP</t>
  </si>
  <si>
    <t>space-age amélioration</t>
  </si>
  <si>
    <t>12h26-12h37</t>
  </si>
  <si>
    <t>12h39-13h01</t>
  </si>
  <si>
    <t>13h04-14h13</t>
  </si>
  <si>
    <t>14h17-16h22 (-20min de pause)</t>
  </si>
  <si>
    <t>13h03-13h31</t>
  </si>
  <si>
    <t>bank-account</t>
  </si>
  <si>
    <t>13h37-14h21</t>
  </si>
  <si>
    <t>amusement-park amélioration</t>
  </si>
  <si>
    <t>14h24-14h29</t>
  </si>
  <si>
    <t>captains-log</t>
  </si>
  <si>
    <t>14h34-15h28 (-20min de pause)</t>
  </si>
  <si>
    <t>gigasecond</t>
  </si>
  <si>
    <t>15h33-16h01</t>
  </si>
  <si>
    <t>compréhension lucky-number intro</t>
  </si>
  <si>
    <t>16h05-16h15 WIP</t>
  </si>
  <si>
    <t>forms</t>
  </si>
  <si>
    <t>12h20-13h00</t>
  </si>
  <si>
    <t>13h10-13h20</t>
  </si>
  <si>
    <t>bank-account mise des attributs en privé</t>
  </si>
  <si>
    <t xml:space="preserve"> captains-log amélioration</t>
  </si>
  <si>
    <t>13h23-13h26</t>
  </si>
  <si>
    <t>lucky-numbers</t>
  </si>
  <si>
    <t>lucky-numbers plus correction du forms</t>
  </si>
  <si>
    <t>réglage d'un problème de lancement de test</t>
  </si>
  <si>
    <t>13h30-15h30 (-25min de pause) WIP</t>
  </si>
  <si>
    <t>15h33-15h52</t>
  </si>
  <si>
    <t>15h53-16h21</t>
  </si>
  <si>
    <t>captains-log/bank-account amélioration</t>
  </si>
  <si>
    <t>16h24-16h27</t>
  </si>
  <si>
    <t>10h54-11h02</t>
  </si>
  <si>
    <t>Réinstalation du tool-set</t>
  </si>
  <si>
    <t>bank-account et lucky-numbers amélioration</t>
  </si>
  <si>
    <t>12h28-12h42</t>
  </si>
  <si>
    <t>elyses-destructured-enchantment</t>
  </si>
  <si>
    <t>12h46-13h39</t>
  </si>
  <si>
    <t>bob</t>
  </si>
  <si>
    <t>13h43-14h04</t>
  </si>
  <si>
    <t>mixed-juces</t>
  </si>
  <si>
    <t>14h09-14h44</t>
  </si>
  <si>
    <t>15h04-15h05</t>
  </si>
  <si>
    <t>vehicle-purchase amélioration</t>
  </si>
  <si>
    <t>bird-watcher</t>
  </si>
  <si>
    <t>15h08-15h30</t>
  </si>
  <si>
    <t>elyses-analytic-enchantment</t>
  </si>
  <si>
    <t>15h37-15h59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</si>
</sst>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7" fontId="0" fillId="0" borderId="0" xfId="0" applyNumberForma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20</c:v>
                </c:pt>
                <c:pt idx="1">
                  <c:v>1240</c:v>
                </c:pt>
                <c:pt idx="2">
                  <c:v>40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1.5384615384615385E-2</c:v>
                </c:pt>
                <c:pt idx="1">
                  <c:v>0.9538461538461539</c:v>
                </c:pt>
                <c:pt idx="2">
                  <c:v>3.0769230769230771E-2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15" zoomScaleNormal="115" workbookViewId="0">
      <pane ySplit="6" topLeftCell="A28" activePane="bottomLeft" state="frozen"/>
      <selection pane="bottomLeft" activeCell="B47" sqref="B4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3" t="s">
        <v>0</v>
      </c>
      <c r="B2" s="83"/>
      <c r="C2" s="81" t="s">
        <v>29</v>
      </c>
      <c r="D2" s="81"/>
      <c r="E2" s="81"/>
      <c r="F2" s="5" t="s">
        <v>1</v>
      </c>
      <c r="G2" s="75" t="s">
        <v>30</v>
      </c>
    </row>
    <row r="3" spans="1:15" ht="23.25" x14ac:dyDescent="0.35">
      <c r="A3" s="83" t="s">
        <v>5</v>
      </c>
      <c r="B3" s="83"/>
      <c r="C3" s="78" t="str">
        <f>QUOTIENT(E4,60)&amp;" heures "&amp;MOD(E4,60)&amp;" minutes"</f>
        <v>21 heures 55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420</v>
      </c>
      <c r="D4" s="19">
        <f>SUBTOTAL(9,$D$7:$D$531)</f>
        <v>895</v>
      </c>
      <c r="E4" s="29">
        <f>SUM(C4:D4)</f>
        <v>1315</v>
      </c>
      <c r="F4" s="4"/>
      <c r="G4" s="6"/>
    </row>
    <row r="5" spans="1:15" x14ac:dyDescent="0.25">
      <c r="C5" s="82" t="s">
        <v>14</v>
      </c>
      <c r="D5" s="82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>
        <f>IF(ISBLANK(B17),"",_xlfn.ISOWEEKNUM('Journal de travail'!$B17))</f>
        <v>47</v>
      </c>
      <c r="B17" s="40">
        <v>45982</v>
      </c>
      <c r="C17" s="41"/>
      <c r="D17" s="42">
        <v>25</v>
      </c>
      <c r="E17" s="43" t="s">
        <v>19</v>
      </c>
      <c r="F17" s="28" t="s">
        <v>50</v>
      </c>
      <c r="G17" s="46" t="s">
        <v>51</v>
      </c>
      <c r="O17">
        <v>45</v>
      </c>
    </row>
    <row r="18" spans="1:15" x14ac:dyDescent="0.25">
      <c r="A18" s="73">
        <f>IF(ISBLANK(B18),"",_xlfn.ISOWEEKNUM('Journal de travail'!$B18))</f>
        <v>47</v>
      </c>
      <c r="B18" s="36">
        <v>45982</v>
      </c>
      <c r="C18" s="37"/>
      <c r="D18" s="38">
        <v>15</v>
      </c>
      <c r="E18" s="39" t="s">
        <v>19</v>
      </c>
      <c r="F18" s="28" t="s">
        <v>52</v>
      </c>
      <c r="G18" s="45" t="s">
        <v>54</v>
      </c>
      <c r="O18">
        <v>50</v>
      </c>
    </row>
    <row r="19" spans="1:15" x14ac:dyDescent="0.25">
      <c r="A19" s="74">
        <f>IF(ISBLANK(B19),"",_xlfn.ISOWEEKNUM('Journal de travail'!$B19))</f>
        <v>47</v>
      </c>
      <c r="B19" s="40">
        <v>45982</v>
      </c>
      <c r="C19" s="41"/>
      <c r="D19" s="42">
        <v>40</v>
      </c>
      <c r="E19" s="43" t="s">
        <v>19</v>
      </c>
      <c r="F19" s="28" t="s">
        <v>53</v>
      </c>
      <c r="G19" s="46" t="s">
        <v>55</v>
      </c>
      <c r="O19">
        <v>55</v>
      </c>
    </row>
    <row r="20" spans="1:15" x14ac:dyDescent="0.25">
      <c r="A20" s="73">
        <f>IF(ISBLANK(B20),"",_xlfn.ISOWEEKNUM('Journal de travail'!$B20))</f>
        <v>47</v>
      </c>
      <c r="B20" s="36">
        <v>45982</v>
      </c>
      <c r="C20" s="37">
        <v>1</v>
      </c>
      <c r="D20" s="38">
        <v>40</v>
      </c>
      <c r="E20" s="39" t="s">
        <v>19</v>
      </c>
      <c r="F20" s="28" t="s">
        <v>56</v>
      </c>
      <c r="G20" s="45" t="s">
        <v>57</v>
      </c>
    </row>
    <row r="21" spans="1:15" x14ac:dyDescent="0.25">
      <c r="A21" s="74">
        <f>IF(ISBLANK(B21),"",_xlfn.ISOWEEKNUM('Journal de travail'!$B21))</f>
        <v>47</v>
      </c>
      <c r="B21" s="40">
        <v>45982</v>
      </c>
      <c r="C21" s="41"/>
      <c r="D21" s="42">
        <v>20</v>
      </c>
      <c r="E21" s="43" t="s">
        <v>19</v>
      </c>
      <c r="F21" s="28" t="s">
        <v>58</v>
      </c>
      <c r="G21" s="46" t="s">
        <v>59</v>
      </c>
    </row>
    <row r="22" spans="1:15" x14ac:dyDescent="0.25">
      <c r="A22" s="73">
        <f>IF(ISBLANK(B22),"",_xlfn.ISOWEEKNUM('Journal de travail'!$B22))</f>
        <v>48</v>
      </c>
      <c r="B22" s="36">
        <v>45989</v>
      </c>
      <c r="C22" s="37"/>
      <c r="D22" s="38">
        <v>10</v>
      </c>
      <c r="E22" s="39" t="s">
        <v>19</v>
      </c>
      <c r="F22" s="28" t="s">
        <v>60</v>
      </c>
      <c r="G22" s="80" t="s">
        <v>61</v>
      </c>
    </row>
    <row r="23" spans="1:15" x14ac:dyDescent="0.25">
      <c r="A23" s="74">
        <f>IF(ISBLANK(B23),"",_xlfn.ISOWEEKNUM('Journal de travail'!$B23))</f>
        <v>48</v>
      </c>
      <c r="B23" s="40">
        <v>45989</v>
      </c>
      <c r="C23" s="41"/>
      <c r="D23" s="42">
        <v>20</v>
      </c>
      <c r="E23" s="43" t="s">
        <v>19</v>
      </c>
      <c r="F23" s="28" t="s">
        <v>53</v>
      </c>
      <c r="G23" s="46" t="s">
        <v>62</v>
      </c>
    </row>
    <row r="24" spans="1:15" x14ac:dyDescent="0.25">
      <c r="A24" s="73">
        <f>IF(ISBLANK(B24),"",_xlfn.ISOWEEKNUM('Journal de travail'!$B24))</f>
        <v>48</v>
      </c>
      <c r="B24" s="36">
        <v>45989</v>
      </c>
      <c r="C24" s="37">
        <v>1</v>
      </c>
      <c r="D24" s="38">
        <v>10</v>
      </c>
      <c r="E24" s="39" t="s">
        <v>19</v>
      </c>
      <c r="F24" s="28" t="s">
        <v>58</v>
      </c>
      <c r="G24" s="45" t="s">
        <v>63</v>
      </c>
    </row>
    <row r="25" spans="1:15" x14ac:dyDescent="0.25">
      <c r="A25" s="74">
        <f>IF(ISBLANK(B25),"",_xlfn.ISOWEEKNUM('Journal de travail'!$B25))</f>
        <v>48</v>
      </c>
      <c r="B25" s="40">
        <v>45989</v>
      </c>
      <c r="C25" s="41">
        <v>2</v>
      </c>
      <c r="D25" s="42">
        <v>5</v>
      </c>
      <c r="E25" s="43" t="s">
        <v>19</v>
      </c>
      <c r="F25" s="28" t="s">
        <v>52</v>
      </c>
      <c r="G25" s="46" t="s">
        <v>64</v>
      </c>
    </row>
    <row r="26" spans="1:15" x14ac:dyDescent="0.25">
      <c r="A26" s="73">
        <f>IF(ISBLANK(B26),"",_xlfn.ISOWEEKNUM('Journal de travail'!$B26))</f>
        <v>49</v>
      </c>
      <c r="B26" s="36">
        <v>45996</v>
      </c>
      <c r="C26" s="37"/>
      <c r="D26" s="38">
        <v>30</v>
      </c>
      <c r="E26" s="39" t="s">
        <v>19</v>
      </c>
      <c r="F26" s="28" t="s">
        <v>60</v>
      </c>
      <c r="G26" s="45" t="s">
        <v>65</v>
      </c>
    </row>
    <row r="27" spans="1:15" x14ac:dyDescent="0.25">
      <c r="A27" s="74">
        <f>IF(ISBLANK(B27),"",_xlfn.ISOWEEKNUM('Journal de travail'!$B27))</f>
        <v>49</v>
      </c>
      <c r="B27" s="40">
        <v>45996</v>
      </c>
      <c r="C27" s="41"/>
      <c r="D27" s="42">
        <v>45</v>
      </c>
      <c r="E27" s="43" t="s">
        <v>19</v>
      </c>
      <c r="F27" s="28" t="s">
        <v>66</v>
      </c>
      <c r="G27" s="46" t="s">
        <v>67</v>
      </c>
    </row>
    <row r="28" spans="1:15" x14ac:dyDescent="0.25">
      <c r="A28" s="73">
        <f>IF(ISBLANK(B28),"",_xlfn.ISOWEEKNUM('Journal de travail'!$B28))</f>
        <v>49</v>
      </c>
      <c r="B28" s="36">
        <v>45996</v>
      </c>
      <c r="C28" s="37"/>
      <c r="D28" s="38">
        <v>5</v>
      </c>
      <c r="E28" s="39" t="s">
        <v>19</v>
      </c>
      <c r="F28" s="27" t="s">
        <v>68</v>
      </c>
      <c r="G28" s="45" t="s">
        <v>69</v>
      </c>
    </row>
    <row r="29" spans="1:15" x14ac:dyDescent="0.25">
      <c r="A29" s="74">
        <f>IF(ISBLANK(B29),"",_xlfn.ISOWEEKNUM('Journal de travail'!$B29))</f>
        <v>49</v>
      </c>
      <c r="B29" s="40">
        <v>45996</v>
      </c>
      <c r="C29" s="41"/>
      <c r="D29" s="42">
        <v>35</v>
      </c>
      <c r="E29" s="43" t="s">
        <v>19</v>
      </c>
      <c r="F29" s="27" t="s">
        <v>70</v>
      </c>
      <c r="G29" s="46" t="s">
        <v>71</v>
      </c>
    </row>
    <row r="30" spans="1:15" x14ac:dyDescent="0.25">
      <c r="A30" s="73">
        <f>IF(ISBLANK(B30),"",_xlfn.ISOWEEKNUM('Journal de travail'!$B30))</f>
        <v>49</v>
      </c>
      <c r="B30" s="36">
        <v>45996</v>
      </c>
      <c r="C30" s="37"/>
      <c r="D30" s="38">
        <v>30</v>
      </c>
      <c r="E30" s="39" t="s">
        <v>19</v>
      </c>
      <c r="F30" s="28" t="s">
        <v>72</v>
      </c>
      <c r="G30" s="45" t="s">
        <v>73</v>
      </c>
    </row>
    <row r="31" spans="1:15" x14ac:dyDescent="0.25">
      <c r="A31" s="74">
        <f>IF(ISBLANK(B31),"",_xlfn.ISOWEEKNUM('Journal de travail'!$B31))</f>
        <v>49</v>
      </c>
      <c r="B31" s="40">
        <v>45996</v>
      </c>
      <c r="C31" s="41"/>
      <c r="D31" s="42">
        <v>10</v>
      </c>
      <c r="E31" s="43" t="s">
        <v>2</v>
      </c>
      <c r="F31" s="27" t="s">
        <v>74</v>
      </c>
      <c r="G31" s="46" t="s">
        <v>75</v>
      </c>
    </row>
    <row r="32" spans="1:15" x14ac:dyDescent="0.25">
      <c r="A32" s="73">
        <f>IF(ISBLANK(B32),"",_xlfn.ISOWEEKNUM('Journal de travail'!$B32))</f>
        <v>50</v>
      </c>
      <c r="B32" s="36">
        <v>46003</v>
      </c>
      <c r="C32" s="37"/>
      <c r="D32" s="38">
        <v>40</v>
      </c>
      <c r="E32" s="39" t="s">
        <v>3</v>
      </c>
      <c r="F32" s="28" t="s">
        <v>76</v>
      </c>
      <c r="G32" s="45" t="s">
        <v>77</v>
      </c>
    </row>
    <row r="33" spans="1:7" x14ac:dyDescent="0.25">
      <c r="A33" s="74">
        <f>IF(ISBLANK(B33),"",_xlfn.ISOWEEKNUM('Journal de travail'!$B33))</f>
        <v>50</v>
      </c>
      <c r="B33" s="40">
        <v>46003</v>
      </c>
      <c r="C33" s="41"/>
      <c r="D33" s="42">
        <v>10</v>
      </c>
      <c r="E33" s="43" t="s">
        <v>19</v>
      </c>
      <c r="F33" s="27" t="s">
        <v>79</v>
      </c>
      <c r="G33" s="46" t="s">
        <v>78</v>
      </c>
    </row>
    <row r="34" spans="1:7" x14ac:dyDescent="0.25">
      <c r="A34" s="73">
        <f>IF(ISBLANK(B34),"",_xlfn.ISOWEEKNUM('Journal de travail'!$B34))</f>
        <v>50</v>
      </c>
      <c r="B34" s="36">
        <v>46003</v>
      </c>
      <c r="C34" s="37"/>
      <c r="D34" s="38">
        <v>5</v>
      </c>
      <c r="E34" s="39" t="s">
        <v>19</v>
      </c>
      <c r="F34" s="27" t="s">
        <v>80</v>
      </c>
      <c r="G34" s="45" t="s">
        <v>81</v>
      </c>
    </row>
    <row r="35" spans="1:7" x14ac:dyDescent="0.25">
      <c r="A35" s="74">
        <f>IF(ISBLANK(B35),"",_xlfn.ISOWEEKNUM('Journal de travail'!$B35))</f>
        <v>50</v>
      </c>
      <c r="B35" s="40">
        <v>46003</v>
      </c>
      <c r="C35" s="41">
        <v>1</v>
      </c>
      <c r="D35" s="42">
        <v>35</v>
      </c>
      <c r="E35" s="43" t="s">
        <v>19</v>
      </c>
      <c r="F35" s="28" t="s">
        <v>83</v>
      </c>
      <c r="G35" s="46" t="s">
        <v>85</v>
      </c>
    </row>
    <row r="36" spans="1:7" x14ac:dyDescent="0.25">
      <c r="A36" s="73">
        <f>IF(ISBLANK(B36),"",_xlfn.ISOWEEKNUM('Journal de travail'!$B36))</f>
        <v>50</v>
      </c>
      <c r="B36" s="36">
        <v>46003</v>
      </c>
      <c r="C36" s="37"/>
      <c r="D36" s="38">
        <v>20</v>
      </c>
      <c r="E36" s="39" t="s">
        <v>19</v>
      </c>
      <c r="F36" s="27" t="s">
        <v>84</v>
      </c>
      <c r="G36" s="45" t="s">
        <v>86</v>
      </c>
    </row>
    <row r="37" spans="1:7" x14ac:dyDescent="0.25">
      <c r="A37" s="74">
        <f>IF(ISBLANK(B37),"",_xlfn.ISOWEEKNUM('Journal de travail'!$B37))</f>
        <v>50</v>
      </c>
      <c r="B37" s="40">
        <v>46003</v>
      </c>
      <c r="C37" s="41"/>
      <c r="D37" s="42">
        <v>30</v>
      </c>
      <c r="E37" s="43" t="s">
        <v>19</v>
      </c>
      <c r="F37" s="27" t="s">
        <v>82</v>
      </c>
      <c r="G37" s="46" t="s">
        <v>87</v>
      </c>
    </row>
    <row r="38" spans="1:7" x14ac:dyDescent="0.25">
      <c r="A38" s="73">
        <f>IF(ISBLANK(B38),"",_xlfn.ISOWEEKNUM('Journal de travail'!$B38))</f>
        <v>50</v>
      </c>
      <c r="B38" s="36">
        <v>46003</v>
      </c>
      <c r="C38" s="37"/>
      <c r="D38" s="38">
        <v>5</v>
      </c>
      <c r="E38" s="39" t="s">
        <v>19</v>
      </c>
      <c r="F38" s="27" t="s">
        <v>88</v>
      </c>
      <c r="G38" s="45" t="s">
        <v>89</v>
      </c>
    </row>
    <row r="39" spans="1:7" x14ac:dyDescent="0.25">
      <c r="A39" s="74">
        <f>IF(ISBLANK(B39),"",_xlfn.ISOWEEKNUM('Journal de travail'!$B39))</f>
        <v>51</v>
      </c>
      <c r="B39" s="40">
        <v>46010</v>
      </c>
      <c r="C39" s="41"/>
      <c r="D39" s="42">
        <v>5</v>
      </c>
      <c r="E39" s="43" t="s">
        <v>19</v>
      </c>
      <c r="F39" s="27" t="s">
        <v>92</v>
      </c>
      <c r="G39" s="46" t="s">
        <v>90</v>
      </c>
    </row>
    <row r="40" spans="1:7" x14ac:dyDescent="0.25">
      <c r="A40" s="73">
        <f>IF(ISBLANK(B40),"",_xlfn.ISOWEEKNUM('Journal de travail'!$B40))</f>
        <v>51</v>
      </c>
      <c r="B40" s="36">
        <v>46010</v>
      </c>
      <c r="C40" s="37"/>
      <c r="D40" s="38">
        <v>15</v>
      </c>
      <c r="E40" s="39"/>
      <c r="F40" s="27" t="s">
        <v>91</v>
      </c>
      <c r="G40" s="45" t="s">
        <v>93</v>
      </c>
    </row>
    <row r="41" spans="1:7" x14ac:dyDescent="0.25">
      <c r="A41" s="74">
        <f>IF(ISBLANK(B41),"",_xlfn.ISOWEEKNUM('Journal de travail'!$B41))</f>
        <v>51</v>
      </c>
      <c r="B41" s="40">
        <v>46010</v>
      </c>
      <c r="C41" s="41"/>
      <c r="D41" s="42">
        <v>50</v>
      </c>
      <c r="E41" s="43" t="s">
        <v>19</v>
      </c>
      <c r="F41" s="27" t="s">
        <v>94</v>
      </c>
      <c r="G41" s="46" t="s">
        <v>95</v>
      </c>
    </row>
    <row r="42" spans="1:7" x14ac:dyDescent="0.25">
      <c r="A42" s="73">
        <f>IF(ISBLANK(B42),"",_xlfn.ISOWEEKNUM('Journal de travail'!$B42))</f>
        <v>51</v>
      </c>
      <c r="B42" s="36">
        <v>46010</v>
      </c>
      <c r="C42" s="37"/>
      <c r="D42" s="38">
        <v>20</v>
      </c>
      <c r="E42" s="39" t="s">
        <v>19</v>
      </c>
      <c r="F42" s="27" t="s">
        <v>96</v>
      </c>
      <c r="G42" s="45" t="s">
        <v>97</v>
      </c>
    </row>
    <row r="43" spans="1:7" x14ac:dyDescent="0.25">
      <c r="A43" s="74">
        <f>IF(ISBLANK(B43),"",_xlfn.ISOWEEKNUM('Journal de travail'!$B43))</f>
        <v>51</v>
      </c>
      <c r="B43" s="40">
        <v>46010</v>
      </c>
      <c r="C43" s="41"/>
      <c r="D43" s="42">
        <v>35</v>
      </c>
      <c r="E43" s="43" t="s">
        <v>19</v>
      </c>
      <c r="F43" s="27" t="s">
        <v>98</v>
      </c>
      <c r="G43" s="46" t="s">
        <v>99</v>
      </c>
    </row>
    <row r="44" spans="1:7" x14ac:dyDescent="0.25">
      <c r="A44" s="73">
        <f>IF(ISBLANK(B44),"",_xlfn.ISOWEEKNUM('Journal de travail'!$B44))</f>
        <v>51</v>
      </c>
      <c r="B44" s="36">
        <v>46010</v>
      </c>
      <c r="C44" s="37"/>
      <c r="D44" s="38">
        <v>5</v>
      </c>
      <c r="E44" s="39" t="s">
        <v>19</v>
      </c>
      <c r="F44" s="27" t="s">
        <v>101</v>
      </c>
      <c r="G44" s="45" t="s">
        <v>100</v>
      </c>
    </row>
    <row r="45" spans="1:7" x14ac:dyDescent="0.25">
      <c r="A45" s="74">
        <f>IF(ISBLANK(B45),"",_xlfn.ISOWEEKNUM('Journal de travail'!$B45))</f>
        <v>51</v>
      </c>
      <c r="B45" s="40">
        <v>46010</v>
      </c>
      <c r="C45" s="41"/>
      <c r="D45" s="42">
        <v>20</v>
      </c>
      <c r="E45" s="43" t="s">
        <v>19</v>
      </c>
      <c r="F45" s="27" t="s">
        <v>102</v>
      </c>
      <c r="G45" s="46" t="s">
        <v>103</v>
      </c>
    </row>
    <row r="46" spans="1:7" x14ac:dyDescent="0.25">
      <c r="A46" s="73">
        <f>IF(ISBLANK(B46),"",_xlfn.ISOWEEKNUM('Journal de travail'!$B46))</f>
        <v>51</v>
      </c>
      <c r="B46" s="36">
        <v>46010</v>
      </c>
      <c r="C46" s="37"/>
      <c r="D46" s="38">
        <v>20</v>
      </c>
      <c r="E46" s="39" t="s">
        <v>19</v>
      </c>
      <c r="F46" s="27" t="s">
        <v>104</v>
      </c>
      <c r="G46" s="45" t="s">
        <v>105</v>
      </c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9" si="0">SUM(A6:B6)</f>
        <v>20</v>
      </c>
      <c r="E6" s="21" t="str">
        <f>'Journal de travail'!M8</f>
        <v>Analyse</v>
      </c>
      <c r="F6" s="50" t="str">
        <f>QUOTIENT(SUM(A6:B6),60)&amp;" h "&amp;TEXT(MOD(SUM(A6:B6),60), "00")&amp;" min"</f>
        <v>0 h 20 min</v>
      </c>
      <c r="G6" s="47">
        <f>SUM(A6:B6)/$C$10</f>
        <v>1.5384615384615385E-2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820</v>
      </c>
      <c r="C7">
        <f t="shared" si="0"/>
        <v>1240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20 h 40 min</v>
      </c>
      <c r="G7" s="56">
        <f t="shared" ref="G7:G9" si="2">SUM(A7:B7)/$C$10</f>
        <v>0.9538461538461539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40</v>
      </c>
      <c r="C8">
        <f t="shared" si="0"/>
        <v>40</v>
      </c>
      <c r="E8" s="22" t="str">
        <f>'Journal de travail'!M10</f>
        <v>Test</v>
      </c>
      <c r="F8" s="50" t="str">
        <f t="shared" si="1"/>
        <v>0 h 40 min</v>
      </c>
      <c r="G8" s="47">
        <f t="shared" si="2"/>
        <v>3.0769230769230771E-2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420</v>
      </c>
      <c r="B10">
        <f>SUM(B6:B9)</f>
        <v>880</v>
      </c>
      <c r="C10">
        <f>SUM(A10:B10)</f>
        <v>1300</v>
      </c>
      <c r="E10" s="20" t="s">
        <v>18</v>
      </c>
      <c r="F10" s="50" t="str">
        <f t="shared" si="1"/>
        <v>21 h 40 min</v>
      </c>
      <c r="G10" s="57">
        <f>C10/C11</f>
        <v>0.24621212121212122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2025-12-19T15:31:54Z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