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p-bulle-exercices-js-start\"/>
    </mc:Choice>
  </mc:AlternateContent>
  <xr:revisionPtr revIDLastSave="0" documentId="13_ncr:1_{90C676EC-5EC5-4657-80E8-BEBEFCACB2F5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<sst xmlns="http://schemas.openxmlformats.org/spreadsheetml/2006/main" count="92" uniqueCount="65">
  <si>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</si>
  <si>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</si>
  <si>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</si>
  <si>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</si>
  <si>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</si>
  <si>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</si>
  <si>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</si>
  <si>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</si>
  <si>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</si>
  <si>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</si>
  <si>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</si>
  <si>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</si>
  <si>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</si>
  <si>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</si>
  <si>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</si>
  <si>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</si>
  <si>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</si>
  <si>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</si>
  <si>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</si>
  <si>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</si>
  <si>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</si>
  <si>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</si>
  <si>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</si>
  <si>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</si>
  <si>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</si>
  <si>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</si>
  <si>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</si>
  <si>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</si>
  <si>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24.02.2025 au 14.03.2025</t>
  </si>
  <si>
    <t>Ruberti Gianmarco</t>
  </si>
  <si>
    <t>P_bulle</t>
  </si>
  <si>
    <t>hello-world</t>
  </si>
  <si>
    <t>13h24-13h32</t>
  </si>
  <si>
    <t>annalyns-infiltration</t>
  </si>
  <si>
    <t>13h39-15h11  (-15min de pause)</t>
  </si>
  <si>
    <t>Lasagna</t>
  </si>
  <si>
    <t>15h15-16h03</t>
  </si>
  <si>
    <t>freelancer-rates</t>
  </si>
  <si>
    <t>16h07-16h30 WIP</t>
  </si>
  <si>
    <t>12h36-13h25</t>
  </si>
  <si>
    <t>poetry-club-door-policy</t>
  </si>
  <si>
    <t>13h26-14h45</t>
  </si>
  <si>
    <t>freelancer-rates améloration</t>
  </si>
  <si>
    <t>15h08-15h15</t>
  </si>
  <si>
    <t>elyses-enchantments</t>
  </si>
  <si>
    <t>15h21-15h55</t>
  </si>
  <si>
    <t>freelancer-rates/poetry-club-door-policy/elyses-enchantments amélioration</t>
  </si>
  <si>
    <t>16h12-16h19</t>
  </si>
  <si>
    <t>16h22-16h30</t>
  </si>
  <si>
    <t>lecture de vehicle-purchase</t>
  </si>
  <si>
    <t>vehicle-purchase</t>
  </si>
  <si>
    <t>12h30-12h53</t>
  </si>
  <si>
    <t>amusement-park</t>
  </si>
  <si>
    <t>elyses-looping-enchantments</t>
  </si>
  <si>
    <t>13h04-13h21 WIP</t>
  </si>
  <si>
    <t>13h35-14h17</t>
  </si>
  <si>
    <t>space-age</t>
  </si>
  <si>
    <t>14h22-16h   (-15min de pause)</t>
  </si>
  <si>
    <t>fruit-picker</t>
  </si>
  <si>
    <t>16h11-16h35 WIP</t>
  </si>
  <si>
    <t>space-age amélioration</t>
  </si>
  <si>
    <t>12h26-12h37</t>
  </si>
  <si>
    <t>12h39-13h01</t>
  </si>
  <si>
    <t>13h04-14h13</t>
  </si>
  <si>
    <t>14h17-16h22 (-20min de pause)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</si>
</sst>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4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17" fontId="0" fillId="0" borderId="0" xfId="0" applyNumberFormat="1" applyAlignment="1" applyProtection="1">
      <alignment wrapText="1"/>
      <protection locked="0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10</c:v>
                </c:pt>
                <c:pt idx="1">
                  <c:v>775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1.2738853503184714E-2</c:v>
                </c:pt>
                <c:pt idx="1">
                  <c:v>0.98726114649681529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B26" sqref="B26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29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13 heures 5 minutes</v>
      </c>
      <c r="D3" s="19"/>
      <c r="E3" s="3"/>
      <c r="F3" s="4" t="s">
        <v>6</v>
      </c>
      <c r="G3" s="76" t="s">
        <v>28</v>
      </c>
    </row>
    <row r="4" spans="1:15" ht="23.25" hidden="1" x14ac:dyDescent="0.35">
      <c r="B4" s="5"/>
      <c r="C4" s="19">
        <f>SUBTOTAL(9,$C$7:$C$531)*60</f>
        <v>360</v>
      </c>
      <c r="D4" s="19">
        <f>SUBTOTAL(9,$D$7:$D$531)</f>
        <v>425</v>
      </c>
      <c r="E4" s="29">
        <f>SUM(C4:D4)</f>
        <v>785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45</v>
      </c>
      <c r="B7" s="32">
        <v>45968</v>
      </c>
      <c r="C7" s="33"/>
      <c r="D7" s="34">
        <v>10</v>
      </c>
      <c r="E7" s="35" t="s">
        <v>19</v>
      </c>
      <c r="F7" s="28" t="s">
        <v>31</v>
      </c>
      <c r="G7" s="44" t="s">
        <v>32</v>
      </c>
    </row>
    <row r="8" spans="1:15" x14ac:dyDescent="0.25">
      <c r="A8" s="73">
        <f>IF(ISBLANK(B8),"",_xlfn.ISOWEEKNUM('Journal de travail'!$B8))</f>
        <v>45</v>
      </c>
      <c r="B8" s="36">
        <v>45968</v>
      </c>
      <c r="C8" s="37">
        <v>1</v>
      </c>
      <c r="D8" s="38">
        <v>30</v>
      </c>
      <c r="E8" s="39" t="s">
        <v>19</v>
      </c>
      <c r="F8" s="28" t="s">
        <v>33</v>
      </c>
      <c r="G8" s="45" t="s">
        <v>34</v>
      </c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45</v>
      </c>
      <c r="B9" s="40">
        <v>45968</v>
      </c>
      <c r="C9" s="41"/>
      <c r="D9" s="42">
        <v>50</v>
      </c>
      <c r="E9" s="43" t="s">
        <v>19</v>
      </c>
      <c r="F9" s="28" t="s">
        <v>35</v>
      </c>
      <c r="G9" s="46" t="s">
        <v>36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45</v>
      </c>
      <c r="B10" s="36">
        <v>45968</v>
      </c>
      <c r="C10" s="37"/>
      <c r="D10" s="38">
        <v>25</v>
      </c>
      <c r="E10" s="39" t="s">
        <v>19</v>
      </c>
      <c r="F10" s="28" t="s">
        <v>37</v>
      </c>
      <c r="G10" s="45" t="s">
        <v>38</v>
      </c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46</v>
      </c>
      <c r="B11" s="40">
        <v>45975</v>
      </c>
      <c r="C11" s="41"/>
      <c r="D11" s="42">
        <v>50</v>
      </c>
      <c r="E11" s="43" t="s">
        <v>19</v>
      </c>
      <c r="F11" s="28" t="s">
        <v>37</v>
      </c>
      <c r="G11" s="46" t="s">
        <v>39</v>
      </c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46</v>
      </c>
      <c r="B12" s="36">
        <v>45975</v>
      </c>
      <c r="C12" s="37">
        <v>1</v>
      </c>
      <c r="D12" s="38">
        <v>20</v>
      </c>
      <c r="E12" s="39" t="s">
        <v>19</v>
      </c>
      <c r="F12" s="28" t="s">
        <v>40</v>
      </c>
      <c r="G12" s="45" t="s">
        <v>41</v>
      </c>
      <c r="N12">
        <v>5</v>
      </c>
      <c r="O12">
        <v>20</v>
      </c>
    </row>
    <row r="13" spans="1:15" x14ac:dyDescent="0.25">
      <c r="A13" s="74">
        <f>IF(ISBLANK(B13),"",_xlfn.ISOWEEKNUM('Journal de travail'!$B13))</f>
        <v>46</v>
      </c>
      <c r="B13" s="40">
        <v>45975</v>
      </c>
      <c r="C13" s="41"/>
      <c r="D13" s="42">
        <v>5</v>
      </c>
      <c r="E13" s="43" t="s">
        <v>19</v>
      </c>
      <c r="F13" s="28" t="s">
        <v>42</v>
      </c>
      <c r="G13" s="46" t="s">
        <v>43</v>
      </c>
      <c r="N13">
        <v>6</v>
      </c>
      <c r="O13">
        <v>25</v>
      </c>
    </row>
    <row r="14" spans="1:15" x14ac:dyDescent="0.25">
      <c r="A14" s="73">
        <f>IF(ISBLANK(B14),"",_xlfn.ISOWEEKNUM('Journal de travail'!$B14))</f>
        <v>46</v>
      </c>
      <c r="B14" s="36">
        <v>45975</v>
      </c>
      <c r="C14" s="37"/>
      <c r="D14" s="38">
        <v>35</v>
      </c>
      <c r="E14" s="39" t="s">
        <v>19</v>
      </c>
      <c r="F14" s="28" t="s">
        <v>44</v>
      </c>
      <c r="G14" s="45" t="s">
        <v>45</v>
      </c>
      <c r="N14">
        <v>7</v>
      </c>
      <c r="O14">
        <v>30</v>
      </c>
    </row>
    <row r="15" spans="1:15" x14ac:dyDescent="0.25">
      <c r="A15" s="74">
        <f>IF(ISBLANK(B15),"",_xlfn.ISOWEEKNUM('Journal de travail'!$B15))</f>
        <v>46</v>
      </c>
      <c r="B15" s="40">
        <v>45975</v>
      </c>
      <c r="C15" s="41"/>
      <c r="D15" s="42">
        <v>5</v>
      </c>
      <c r="E15" s="43" t="s">
        <v>19</v>
      </c>
      <c r="F15" s="28" t="s">
        <v>46</v>
      </c>
      <c r="G15" s="46" t="s">
        <v>47</v>
      </c>
      <c r="N15">
        <v>8</v>
      </c>
      <c r="O15">
        <v>35</v>
      </c>
    </row>
    <row r="16" spans="1:15" x14ac:dyDescent="0.25">
      <c r="A16" s="73">
        <f>IF(ISBLANK(B16),"",_xlfn.ISOWEEKNUM('Journal de travail'!$B16))</f>
        <v>46</v>
      </c>
      <c r="B16" s="36">
        <v>45975</v>
      </c>
      <c r="C16" s="37"/>
      <c r="D16" s="38">
        <v>10</v>
      </c>
      <c r="E16" s="39" t="s">
        <v>2</v>
      </c>
      <c r="F16" s="28" t="s">
        <v>49</v>
      </c>
      <c r="G16" s="45" t="s">
        <v>48</v>
      </c>
      <c r="O16">
        <v>40</v>
      </c>
    </row>
    <row r="17" spans="1:15" x14ac:dyDescent="0.25">
      <c r="A17" s="74">
        <f>IF(ISBLANK(B17),"",_xlfn.ISOWEEKNUM('Journal de travail'!$B17))</f>
        <v>47</v>
      </c>
      <c r="B17" s="40">
        <v>45982</v>
      </c>
      <c r="C17" s="41"/>
      <c r="D17" s="42">
        <v>25</v>
      </c>
      <c r="E17" s="43" t="s">
        <v>19</v>
      </c>
      <c r="F17" s="28" t="s">
        <v>50</v>
      </c>
      <c r="G17" s="46" t="s">
        <v>51</v>
      </c>
      <c r="O17">
        <v>45</v>
      </c>
    </row>
    <row r="18" spans="1:15" x14ac:dyDescent="0.25">
      <c r="A18" s="73">
        <f>IF(ISBLANK(B18),"",_xlfn.ISOWEEKNUM('Journal de travail'!$B18))</f>
        <v>47</v>
      </c>
      <c r="B18" s="36">
        <v>45982</v>
      </c>
      <c r="C18" s="37"/>
      <c r="D18" s="38">
        <v>15</v>
      </c>
      <c r="E18" s="39" t="s">
        <v>19</v>
      </c>
      <c r="F18" s="28" t="s">
        <v>52</v>
      </c>
      <c r="G18" s="45" t="s">
        <v>54</v>
      </c>
      <c r="O18">
        <v>50</v>
      </c>
    </row>
    <row r="19" spans="1:15" x14ac:dyDescent="0.25">
      <c r="A19" s="74">
        <f>IF(ISBLANK(B19),"",_xlfn.ISOWEEKNUM('Journal de travail'!$B19))</f>
        <v>47</v>
      </c>
      <c r="B19" s="40">
        <v>45982</v>
      </c>
      <c r="C19" s="41"/>
      <c r="D19" s="42">
        <v>40</v>
      </c>
      <c r="E19" s="43" t="s">
        <v>19</v>
      </c>
      <c r="F19" s="28" t="s">
        <v>53</v>
      </c>
      <c r="G19" s="46" t="s">
        <v>55</v>
      </c>
      <c r="O19">
        <v>55</v>
      </c>
    </row>
    <row r="20" spans="1:15" x14ac:dyDescent="0.25">
      <c r="A20" s="73">
        <f>IF(ISBLANK(B20),"",_xlfn.ISOWEEKNUM('Journal de travail'!$B20))</f>
        <v>47</v>
      </c>
      <c r="B20" s="36">
        <v>45982</v>
      </c>
      <c r="C20" s="37">
        <v>1</v>
      </c>
      <c r="D20" s="38">
        <v>40</v>
      </c>
      <c r="E20" s="39" t="s">
        <v>19</v>
      </c>
      <c r="F20" s="28" t="s">
        <v>56</v>
      </c>
      <c r="G20" s="45" t="s">
        <v>57</v>
      </c>
    </row>
    <row r="21" spans="1:15" x14ac:dyDescent="0.25">
      <c r="A21" s="74">
        <f>IF(ISBLANK(B21),"",_xlfn.ISOWEEKNUM('Journal de travail'!$B21))</f>
        <v>47</v>
      </c>
      <c r="B21" s="40">
        <v>45982</v>
      </c>
      <c r="C21" s="41"/>
      <c r="D21" s="42">
        <v>20</v>
      </c>
      <c r="E21" s="43" t="s">
        <v>19</v>
      </c>
      <c r="F21" s="28" t="s">
        <v>58</v>
      </c>
      <c r="G21" s="46" t="s">
        <v>59</v>
      </c>
    </row>
    <row r="22" spans="1:15" x14ac:dyDescent="0.25">
      <c r="A22" s="73">
        <f>IF(ISBLANK(B22),"",_xlfn.ISOWEEKNUM('Journal de travail'!$B22))</f>
        <v>48</v>
      </c>
      <c r="B22" s="36">
        <v>45989</v>
      </c>
      <c r="C22" s="37"/>
      <c r="D22" s="38">
        <v>10</v>
      </c>
      <c r="E22" s="39" t="s">
        <v>19</v>
      </c>
      <c r="F22" s="28" t="s">
        <v>60</v>
      </c>
      <c r="G22" s="83" t="s">
        <v>61</v>
      </c>
    </row>
    <row r="23" spans="1:15" x14ac:dyDescent="0.25">
      <c r="A23" s="74">
        <f>IF(ISBLANK(B23),"",_xlfn.ISOWEEKNUM('Journal de travail'!$B23))</f>
        <v>48</v>
      </c>
      <c r="B23" s="40">
        <v>45989</v>
      </c>
      <c r="C23" s="41"/>
      <c r="D23" s="42">
        <v>20</v>
      </c>
      <c r="E23" s="43" t="s">
        <v>19</v>
      </c>
      <c r="F23" s="28" t="s">
        <v>53</v>
      </c>
      <c r="G23" s="46" t="s">
        <v>62</v>
      </c>
    </row>
    <row r="24" spans="1:15" x14ac:dyDescent="0.25">
      <c r="A24" s="73">
        <f>IF(ISBLANK(B24),"",_xlfn.ISOWEEKNUM('Journal de travail'!$B24))</f>
        <v>48</v>
      </c>
      <c r="B24" s="36">
        <v>45989</v>
      </c>
      <c r="C24" s="37">
        <v>1</v>
      </c>
      <c r="D24" s="38">
        <v>10</v>
      </c>
      <c r="E24" s="39" t="s">
        <v>19</v>
      </c>
      <c r="F24" s="28" t="s">
        <v>58</v>
      </c>
      <c r="G24" s="45" t="s">
        <v>63</v>
      </c>
    </row>
    <row r="25" spans="1:15" x14ac:dyDescent="0.25">
      <c r="A25" s="74">
        <f>IF(ISBLANK(B25),"",_xlfn.ISOWEEKNUM('Journal de travail'!$B25))</f>
        <v>48</v>
      </c>
      <c r="B25" s="40">
        <v>45989</v>
      </c>
      <c r="C25" s="41">
        <v>2</v>
      </c>
      <c r="D25" s="42">
        <v>5</v>
      </c>
      <c r="E25" s="43" t="s">
        <v>19</v>
      </c>
      <c r="F25" s="28" t="s">
        <v>52</v>
      </c>
      <c r="G25" s="46" t="s">
        <v>64</v>
      </c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10</v>
      </c>
      <c r="C6">
        <f t="shared" ref="C6:C9" si="0">SUM(A6:B6)</f>
        <v>10</v>
      </c>
      <c r="E6" s="21" t="str">
        <f>'Journal de travail'!M8</f>
        <v>Analyse</v>
      </c>
      <c r="F6" s="50" t="str">
        <f>QUOTIENT(SUM(A6:B6),60)&amp;" h "&amp;TEXT(MOD(SUM(A6:B6),60), "00")&amp;" min"</f>
        <v>0 h 10 min</v>
      </c>
      <c r="G6" s="47">
        <f>SUM(A6:B6)/$C$10</f>
        <v>1.2738853503184714E-2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360</v>
      </c>
      <c r="B7">
        <f>SUMIF('Journal de travail'!$E$7:$E$532,Plannification!E7,'Journal de travail'!$D$7:$D$532)</f>
        <v>415</v>
      </c>
      <c r="C7">
        <f t="shared" si="0"/>
        <v>775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12 h 55 min</v>
      </c>
      <c r="G7" s="56">
        <f t="shared" ref="G7:G9" si="2">SUM(A7:B7)/$C$10</f>
        <v>0.98726114649681529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360</v>
      </c>
      <c r="B10">
        <f>SUM(B6:B9)</f>
        <v>425</v>
      </c>
      <c r="C10">
        <f>SUM(A10:B10)</f>
        <v>785</v>
      </c>
      <c r="E10" s="20" t="s">
        <v>18</v>
      </c>
      <c r="F10" s="50" t="str">
        <f t="shared" si="1"/>
        <v>13 h 05 min</v>
      </c>
      <c r="G10" s="57">
        <f>C10/C11</f>
        <v>0.14867424242424243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2025-11-28T15:35:54Z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